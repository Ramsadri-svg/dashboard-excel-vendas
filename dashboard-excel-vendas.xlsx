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ria\OneDrive\Área de Trabalho\Github\"/>
    </mc:Choice>
  </mc:AlternateContent>
  <xr:revisionPtr revIDLastSave="0" documentId="8_{F3017AC4-1F89-4A55-844B-6359BDA3D1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8" r:id="rId1"/>
    <sheet name="Gráfico 1" sheetId="6" r:id="rId2"/>
    <sheet name="Gráfico 2" sheetId="7" r:id="rId3"/>
    <sheet name="Base_Dados" sheetId="1" r:id="rId4"/>
    <sheet name="Resumo" sheetId="2" r:id="rId5"/>
  </sheets>
  <calcPr calcId="191029"/>
  <pivotCaches>
    <pivotCache cacheId="3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7" i="1"/>
  <c r="H8" i="1"/>
  <c r="H9" i="1"/>
  <c r="H10" i="1"/>
  <c r="H11" i="1"/>
  <c r="H12" i="1"/>
  <c r="H6" i="1"/>
  <c r="B4" i="2"/>
  <c r="H4" i="1"/>
  <c r="H3" i="1"/>
  <c r="H2" i="1"/>
  <c r="B3" i="2" l="1"/>
  <c r="B5" i="2" s="1"/>
</calcChain>
</file>

<file path=xl/sharedStrings.xml><?xml version="1.0" encoding="utf-8"?>
<sst xmlns="http://schemas.openxmlformats.org/spreadsheetml/2006/main" count="77" uniqueCount="38">
  <si>
    <t>Data</t>
  </si>
  <si>
    <t>Produto</t>
  </si>
  <si>
    <t>Categoria</t>
  </si>
  <si>
    <t>Cliente</t>
  </si>
  <si>
    <t>Região</t>
  </si>
  <si>
    <t>Quantidade</t>
  </si>
  <si>
    <t>Preço Unitário</t>
  </si>
  <si>
    <t>Faturamento</t>
  </si>
  <si>
    <t>Notebook</t>
  </si>
  <si>
    <t>Eletrônicos</t>
  </si>
  <si>
    <t>Cliente A</t>
  </si>
  <si>
    <t>Sudeste</t>
  </si>
  <si>
    <t>Celular</t>
  </si>
  <si>
    <t>Cliente B</t>
  </si>
  <si>
    <t>Sul</t>
  </si>
  <si>
    <t>Cadeira</t>
  </si>
  <si>
    <t>Móveis</t>
  </si>
  <si>
    <t>Cliente C</t>
  </si>
  <si>
    <t>Nordeste</t>
  </si>
  <si>
    <t>Resumo de Vendas</t>
  </si>
  <si>
    <t>Receita Total</t>
  </si>
  <si>
    <t>Quantidade Total</t>
  </si>
  <si>
    <t>Ticket Médio</t>
  </si>
  <si>
    <t>Rótulos de Linha</t>
  </si>
  <si>
    <t>Total Geral</t>
  </si>
  <si>
    <t>Soma de Faturamento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</si>
  <si>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</si>
  <si>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</si>
  <si>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</si>
  <si>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</si>
  <si>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</si>
  <si>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</si>
  <si>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</si>
  <si>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</si>
  <si>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</si>
  <si>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</si>
  <si>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</si>
  <si>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 xml:space="preserve">        Receita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</si>
</sst>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0" fontId="4" fillId="0" borderId="0" xfId="0" applyFont="1"/>
    <xf numFmtId="3" fontId="5" fillId="0" borderId="0" xfId="0" applyNumberFormat="1" applyFont="1" applyAlignment="1"/>
    <xf numFmtId="0" fontId="0" fillId="0" borderId="0" xfId="0" applyAlignment="1">
      <alignment horizontal="right"/>
    </xf>
    <xf numFmtId="165" fontId="2" fillId="0" borderId="0" xfId="0" applyNumberFormat="1" applyFont="1" applyAlignme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[dashboard-excel-vendas.xlsx]Gráfico 1!Tabela dinâmica4</c:name>
    <c:fmtId val="6"/>
  </c:pivotSource>
  <c:chart>
    <c:autoTitleDeleted val="1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4691358024692264E-3"/>
              <c:y val="-1.3625643356385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4691358024691358E-3"/>
              <c:y val="-1.1853342382291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9.0533933568142166E-17"/>
              <c:y val="9.9958235575919115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4691358024692264E-3"/>
              <c:y val="-3.875492881622425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4691358024691358E-3"/>
              <c:y val="-1.85007185937672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4691358024691358E-3"/>
              <c:y val="1.37469444410323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1.36256433563856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691358024690906E-3"/>
              <c:y val="-1.16276302374430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9382716049382715E-3"/>
              <c:y val="-3.875492881622514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-3.875492881622447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9.9958235575919115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659375911344409E-2"/>
          <c:y val="0.15133116424473952"/>
          <c:w val="0.83831323741078856"/>
          <c:h val="0.65386505177560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9.995823557591911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4C-405B-B8ED-DA87436F9DFB}"/>
                </c:ext>
              </c:extLst>
            </c:dLbl>
            <c:dLbl>
              <c:idx val="1"/>
              <c:layout>
                <c:manualLayout>
                  <c:x val="0"/>
                  <c:y val="-3.87549288162244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4C-405B-B8ED-DA87436F9DFB}"/>
                </c:ext>
              </c:extLst>
            </c:dLbl>
            <c:dLbl>
              <c:idx val="2"/>
              <c:layout>
                <c:manualLayout>
                  <c:x val="-4.9382716049382715E-3"/>
                  <c:y val="-3.875492881622514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4C-405B-B8ED-DA87436F9DFB}"/>
                </c:ext>
              </c:extLst>
            </c:dLbl>
            <c:dLbl>
              <c:idx val="3"/>
              <c:layout>
                <c:manualLayout>
                  <c:x val="0"/>
                  <c:y val="-1.36256433563856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4C-405B-B8ED-DA87436F9DFB}"/>
                </c:ext>
              </c:extLst>
            </c:dLbl>
            <c:dLbl>
              <c:idx val="4"/>
              <c:layout>
                <c:manualLayout>
                  <c:x val="2.4691358024690906E-3"/>
                  <c:y val="-1.16276302374430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4C-405B-B8ED-DA87436F9DFB}"/>
                </c:ext>
              </c:extLst>
            </c:dLbl>
            <c:dLbl>
              <c:idx val="5"/>
              <c:layout>
                <c:manualLayout>
                  <c:x val="-2.4691358024691358E-3"/>
                  <c:y val="1.37469444410323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4C-405B-B8ED-DA87436F9DFB}"/>
                </c:ext>
              </c:extLst>
            </c:dLbl>
            <c:dLbl>
              <c:idx val="6"/>
              <c:layout>
                <c:manualLayout>
                  <c:x val="-2.4691358024692264E-3"/>
                  <c:y val="-1.36256433563856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C-405B-B8ED-DA87436F9DFB}"/>
                </c:ext>
              </c:extLst>
            </c:dLbl>
            <c:dLbl>
              <c:idx val="7"/>
              <c:layout>
                <c:manualLayout>
                  <c:x val="-2.4691358024691358E-3"/>
                  <c:y val="-1.18533423822918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4C-405B-B8ED-DA87436F9DFB}"/>
                </c:ext>
              </c:extLst>
            </c:dLbl>
            <c:dLbl>
              <c:idx val="8"/>
              <c:layout>
                <c:manualLayout>
                  <c:x val="-9.0533933568142166E-17"/>
                  <c:y val="9.995823557591911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4C-405B-B8ED-DA87436F9DFB}"/>
                </c:ext>
              </c:extLst>
            </c:dLbl>
            <c:dLbl>
              <c:idx val="9"/>
              <c:layout>
                <c:manualLayout>
                  <c:x val="-2.4691358024692264E-3"/>
                  <c:y val="-3.875492881622425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4C-405B-B8ED-DA87436F9DFB}"/>
                </c:ext>
              </c:extLst>
            </c:dLbl>
            <c:dLbl>
              <c:idx val="10"/>
              <c:layout>
                <c:manualLayout>
                  <c:x val="-2.4691358024691358E-3"/>
                  <c:y val="-1.85007185937672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C-405B-B8ED-DA87436F9D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'Gráfico 1'!$A$4:$A$15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</c:strCache>
            </c:strRef>
          </c:cat>
          <c:val>
            <c:numRef>
              <c:f>'Gráfico 1'!$B$4:$B$15</c:f>
              <c:numCache>
                <c:formatCode>General</c:formatCode>
                <c:ptCount val="11"/>
                <c:pt idx="0">
                  <c:v>1000</c:v>
                </c:pt>
                <c:pt idx="1">
                  <c:v>4500</c:v>
                </c:pt>
                <c:pt idx="2">
                  <c:v>1000</c:v>
                </c:pt>
                <c:pt idx="3">
                  <c:v>1200</c:v>
                </c:pt>
                <c:pt idx="4">
                  <c:v>600</c:v>
                </c:pt>
                <c:pt idx="5">
                  <c:v>800</c:v>
                </c:pt>
                <c:pt idx="6">
                  <c:v>2000</c:v>
                </c:pt>
                <c:pt idx="7">
                  <c:v>750</c:v>
                </c:pt>
                <c:pt idx="8">
                  <c:v>1518</c:v>
                </c:pt>
                <c:pt idx="9">
                  <c:v>1260</c:v>
                </c:pt>
                <c:pt idx="10">
                  <c:v>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C-405B-B8ED-DA87436F9D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3835904"/>
        <c:axId val="1763836384"/>
      </c:barChart>
      <c:catAx>
        <c:axId val="17638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3836384"/>
        <c:crosses val="autoZero"/>
        <c:auto val="1"/>
        <c:lblAlgn val="ctr"/>
        <c:lblOffset val="100"/>
        <c:noMultiLvlLbl val="0"/>
      </c:catAx>
      <c:valAx>
        <c:axId val="1763836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383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[dashboard-excel-vendas.xlsx]Gráfico 2!Tabela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957072673608106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2.4691358024691358E-3"/>
              <c:y val="4.810937094401661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  <c:dLbl>
          <c:idx val="0"/>
          <c:layout>
            <c:manualLayout>
              <c:x val="-2.4691358024691358E-3"/>
              <c:y val="4.810937094401661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920384951881"/>
          <c:y val="0.17527470083188754"/>
          <c:w val="0.74845603674540684"/>
          <c:h val="0.66663356910894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4691358024691358E-3"/>
                  <c:y val="4.810937094401661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E0-479C-AD73-A09C4F884E29}"/>
                </c:ext>
              </c:extLst>
            </c:dLbl>
            <c:dLbl>
              <c:idx val="1"/>
              <c:layout>
                <c:manualLayout>
                  <c:x val="0"/>
                  <c:y val="-4.95707267360810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E0-479C-AD73-A09C4F884E29}"/>
                </c:ext>
              </c:extLst>
            </c:dLbl>
            <c:dLbl>
              <c:idx val="2"/>
              <c:layout>
                <c:manualLayout>
                  <c:x val="-2.4691358024691358E-3"/>
                  <c:y val="4.810937094401661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E0-479C-AD73-A09C4F884E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2'!$A$4:$A$7</c:f>
              <c:strCache>
                <c:ptCount val="3"/>
                <c:pt idx="0">
                  <c:v>Nordeste</c:v>
                </c:pt>
                <c:pt idx="1">
                  <c:v>Sudeste</c:v>
                </c:pt>
                <c:pt idx="2">
                  <c:v>Sul</c:v>
                </c:pt>
              </c:strCache>
            </c:strRef>
          </c:cat>
          <c:val>
            <c:numRef>
              <c:f>'Gráfico 2'!$B$4:$B$7</c:f>
              <c:numCache>
                <c:formatCode>General</c:formatCode>
                <c:ptCount val="3"/>
                <c:pt idx="0">
                  <c:v>3318</c:v>
                </c:pt>
                <c:pt idx="1">
                  <c:v>5460</c:v>
                </c:pt>
                <c:pt idx="2">
                  <c:v>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0-479C-AD73-A09C4F884E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0846416"/>
        <c:axId val="1770847856"/>
      </c:barChart>
      <c:catAx>
        <c:axId val="17708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847856"/>
        <c:crosses val="autoZero"/>
        <c:auto val="1"/>
        <c:lblAlgn val="ctr"/>
        <c:lblOffset val="100"/>
        <c:noMultiLvlLbl val="0"/>
      </c:catAx>
      <c:valAx>
        <c:axId val="177084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84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[dashboard-excel-vendas.xlsx]Gráfico 1!Tabela dinâmica4</c:name>
    <c:fmtId val="1"/>
  </c:pivotSource>
  <c:chart>
    <c:title>
      <c:layout>
        <c:manualLayout>
          <c:xMode val="edge"/>
          <c:yMode val="edge"/>
          <c:x val="0.43520546648936437"/>
          <c:y val="3.961433051070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721062618595827E-2"/>
          <c:y val="0.17103762496822977"/>
          <c:w val="0.83831323741078856"/>
          <c:h val="0.57098885687855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1'!$A$4:$A$15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</c:strCache>
            </c:strRef>
          </c:cat>
          <c:val>
            <c:numRef>
              <c:f>'Gráfico 1'!$B$4:$B$15</c:f>
              <c:numCache>
                <c:formatCode>General</c:formatCode>
                <c:ptCount val="11"/>
                <c:pt idx="0">
                  <c:v>1000</c:v>
                </c:pt>
                <c:pt idx="1">
                  <c:v>4500</c:v>
                </c:pt>
                <c:pt idx="2">
                  <c:v>1000</c:v>
                </c:pt>
                <c:pt idx="3">
                  <c:v>1200</c:v>
                </c:pt>
                <c:pt idx="4">
                  <c:v>600</c:v>
                </c:pt>
                <c:pt idx="5">
                  <c:v>800</c:v>
                </c:pt>
                <c:pt idx="6">
                  <c:v>2000</c:v>
                </c:pt>
                <c:pt idx="7">
                  <c:v>750</c:v>
                </c:pt>
                <c:pt idx="8">
                  <c:v>1518</c:v>
                </c:pt>
                <c:pt idx="9">
                  <c:v>1260</c:v>
                </c:pt>
                <c:pt idx="10">
                  <c:v>4088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6-4379-951D-D54A1DF181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63835904"/>
        <c:axId val="1763836384"/>
      </c:barChart>
      <c:catAx>
        <c:axId val="176383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3836384"/>
        <c:crosses val="autoZero"/>
        <c:auto val="1"/>
        <c:lblAlgn val="ctr"/>
        <c:lblOffset val="100"/>
        <c:noMultiLvlLbl val="0"/>
      </c:catAx>
      <c:valAx>
        <c:axId val="1763836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3835904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2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[dashboard-excel-vendas.xlsx]Gráfico 2!Tabela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2'!$A$4:$A$7</c:f>
              <c:strCache>
                <c:ptCount val="3"/>
                <c:pt idx="0">
                  <c:v>Nordeste</c:v>
                </c:pt>
                <c:pt idx="1">
                  <c:v>Sudeste</c:v>
                </c:pt>
                <c:pt idx="2">
                  <c:v>Sul</c:v>
                </c:pt>
              </c:strCache>
            </c:strRef>
          </c:cat>
          <c:val>
            <c:numRef>
              <c:f>'Gráfico 2'!$B$4:$B$7</c:f>
              <c:numCache>
                <c:formatCode>General</c:formatCode>
                <c:ptCount val="3"/>
                <c:pt idx="0">
                  <c:v>3318</c:v>
                </c:pt>
                <c:pt idx="1">
                  <c:v>5460</c:v>
                </c:pt>
                <c:pt idx="2">
                  <c:v>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3-4928-A05F-E899CD1433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0846416"/>
        <c:axId val="1770847856"/>
      </c:barChart>
      <c:catAx>
        <c:axId val="17708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847856"/>
        <c:crosses val="autoZero"/>
        <c:auto val="1"/>
        <c:lblAlgn val="ctr"/>
        <c:lblOffset val="100"/>
        <c:noMultiLvlLbl val="0"/>
      </c:catAx>
      <c:valAx>
        <c:axId val="17708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8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19050</xdr:rowOff>
    </xdr:from>
    <xdr:to>
      <xdr:col>7</xdr:col>
      <xdr:colOff>361951</xdr:colOff>
      <xdr:row>17</xdr:row>
      <xdr:rowOff>147638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9A062C-6948-43CD-B199-D6551825C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4</xdr:row>
      <xdr:rowOff>19050</xdr:rowOff>
    </xdr:from>
    <xdr:to>
      <xdr:col>15</xdr:col>
      <xdr:colOff>47625</xdr:colOff>
      <xdr:row>17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D9D2BF-7C11-4A9C-88A2-069CF5215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0.47504</cdr:x>
      <cdr:y>0.09814</cdr:y>
    </cdr:from>
    <cdr:to>
      <cdr:x>0.64028</cdr:x>
      <cdr:y>0.42301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CBA58F6-255E-5817-A650-2794AF600EC7}"/>
            </a:ext>
          </a:extLst>
        </cdr:cNvPr>
        <cdr:cNvSpPr txBox="1"/>
      </cdr:nvSpPr>
      <cdr:spPr>
        <a:xfrm xmlns:a="http://schemas.openxmlformats.org/drawingml/2006/main">
          <a:off x="2628900" y="2762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0.36661</cdr:x>
      <cdr:y>0.05415</cdr:y>
    </cdr:from>
    <cdr:to>
      <cdr:x>0.65921</cdr:x>
      <cdr:y>0.12521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6E63D120-EA54-42DC-AC7A-8C0364628F95}"/>
            </a:ext>
          </a:extLst>
        </cdr:cNvPr>
        <cdr:cNvSpPr txBox="1"/>
      </cdr:nvSpPr>
      <cdr:spPr>
        <a:xfrm xmlns:a="http://schemas.openxmlformats.org/drawingml/2006/main">
          <a:off x="2028825" y="152400"/>
          <a:ext cx="1619250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b="1" i="1"/>
            <a:t>Evolução do Faturamento</a:t>
          </a:r>
          <a:endParaRPr lang="pt-BR" sz="1100" b="1" i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0.44583</cdr:x>
      <cdr:y>0.07458</cdr:y>
    </cdr:from>
    <cdr:to>
      <cdr:x>0.64583</cdr:x>
      <cdr:y>0.4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E64AC5C-C4B0-7717-9DD2-1BDFE4D05C0A}"/>
            </a:ext>
          </a:extLst>
        </cdr:cNvPr>
        <cdr:cNvSpPr txBox="1"/>
      </cdr:nvSpPr>
      <cdr:spPr>
        <a:xfrm xmlns:a="http://schemas.openxmlformats.org/drawingml/2006/main">
          <a:off x="2038350" y="2095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0.35</cdr:x>
      <cdr:y>0.06102</cdr:y>
    </cdr:from>
    <cdr:to>
      <cdr:x>0.7125</cdr:x>
      <cdr:y>0.14237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6B2FBE27-6D66-9BCA-214C-AEDE7D3B428A}"/>
            </a:ext>
          </a:extLst>
        </cdr:cNvPr>
        <cdr:cNvSpPr txBox="1"/>
      </cdr:nvSpPr>
      <cdr:spPr>
        <a:xfrm xmlns:a="http://schemas.openxmlformats.org/drawingml/2006/main">
          <a:off x="1600201" y="171450"/>
          <a:ext cx="165735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b="1" i="1"/>
            <a:t>Faturamento por Região</a:t>
          </a:r>
          <a:endParaRPr lang="pt-BR" sz="1100" b="1" i="1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485774</xdr:colOff>
      <xdr:row>2</xdr:row>
      <xdr:rowOff>4762</xdr:rowOff>
    </xdr:from>
    <xdr:to>
      <xdr:col>10</xdr:col>
      <xdr:colOff>600074</xdr:colOff>
      <xdr:row>16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622D0-0BEF-C594-26D2-785A78B2E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42862</xdr:rowOff>
    </xdr:from>
    <xdr:to>
      <xdr:col>10</xdr:col>
      <xdr:colOff>95250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181FC1-CA33-5174-AF0D-545C8FBBA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 R.P" refreshedDate="46141.623022453707" createdVersion="8" refreshedVersion="8" minRefreshableVersion="3" recordCount="11" xr:uid="{4701095E-8C13-4FE7-A940-C30946B1C340}">
  <cacheSource type="worksheet">
    <worksheetSource name="Tabela1"/>
  </cacheSource>
  <cacheFields count="9">
    <cacheField name="Data" numFmtId="14">
      <sharedItems containsSemiMixedTypes="0" containsNonDate="0" containsDate="1" containsString="0" minDate="2026-01-01T00:00:00" maxDate="2026-11-02T00:00:00" count="11"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</sharedItems>
      <fieldGroup par="8"/>
    </cacheField>
    <cacheField name="Produto" numFmtId="0">
      <sharedItems count="3">
        <s v="Notebook"/>
        <s v="Celular"/>
        <s v="Cadeira"/>
      </sharedItems>
    </cacheField>
    <cacheField name="Categoria" numFmtId="0">
      <sharedItems/>
    </cacheField>
    <cacheField name="Cliente" numFmtId="0">
      <sharedItems/>
    </cacheField>
    <cacheField name="Região" numFmtId="0">
      <sharedItems count="3">
        <s v="Sudeste"/>
        <s v="Sul"/>
        <s v="Nordeste"/>
      </sharedItems>
    </cacheField>
    <cacheField name="Quantidade" numFmtId="0">
      <sharedItems containsSemiMixedTypes="0" containsString="0" containsNumber="1" containsInteger="1" minValue="2" maxValue="8"/>
    </cacheField>
    <cacheField name="Preço Unitário" numFmtId="0">
      <sharedItems containsSemiMixedTypes="0" containsString="0" containsNumber="1" containsInteger="1" minValue="100" maxValue="1500"/>
    </cacheField>
    <cacheField name="Faturamento" numFmtId="0">
      <sharedItems containsSemiMixedTypes="0" containsString="0" containsNumber="1" containsInteger="1" minValue="600" maxValue="4500"/>
    </cacheField>
    <cacheField name="Meses (Data)" numFmtId="0" databaseField="0">
      <fieldGroup base="0">
        <rangePr groupBy="months" startDate="2026-01-01T00:00:00" endDate="2026-11-02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Eletrônicos"/>
    <s v="Cliente A"/>
    <x v="0"/>
    <n v="2"/>
    <n v="500"/>
    <n v="1000"/>
  </r>
  <r>
    <x v="1"/>
    <x v="1"/>
    <s v="Eletrônicos"/>
    <s v="Cliente B"/>
    <x v="1"/>
    <n v="3"/>
    <n v="1500"/>
    <n v="4500"/>
  </r>
  <r>
    <x v="2"/>
    <x v="2"/>
    <s v="Móveis"/>
    <s v="Cliente C"/>
    <x v="2"/>
    <n v="5"/>
    <n v="200"/>
    <n v="1000"/>
  </r>
  <r>
    <x v="3"/>
    <x v="0"/>
    <s v="Eletrônicos"/>
    <s v="Cliente A"/>
    <x v="0"/>
    <n v="4"/>
    <n v="300"/>
    <n v="1200"/>
  </r>
  <r>
    <x v="4"/>
    <x v="1"/>
    <s v="Eletrônicos"/>
    <s v="Cliente B"/>
    <x v="1"/>
    <n v="3"/>
    <n v="200"/>
    <n v="600"/>
  </r>
  <r>
    <x v="5"/>
    <x v="2"/>
    <s v="Móveis"/>
    <s v="Cliente C"/>
    <x v="2"/>
    <n v="8"/>
    <n v="100"/>
    <n v="800"/>
  </r>
  <r>
    <x v="6"/>
    <x v="0"/>
    <s v="Eletrônicos"/>
    <s v="Cliente A"/>
    <x v="0"/>
    <n v="2"/>
    <n v="1000"/>
    <n v="2000"/>
  </r>
  <r>
    <x v="7"/>
    <x v="1"/>
    <s v="Eletrônicos"/>
    <s v="Cliente B"/>
    <x v="1"/>
    <n v="5"/>
    <n v="150"/>
    <n v="750"/>
  </r>
  <r>
    <x v="8"/>
    <x v="2"/>
    <s v="Móveis"/>
    <s v="Cliente C"/>
    <x v="2"/>
    <n v="6"/>
    <n v="253"/>
    <n v="1518"/>
  </r>
  <r>
    <x v="9"/>
    <x v="0"/>
    <s v="Eletrônicos"/>
    <s v="Cliente A"/>
    <x v="0"/>
    <n v="3"/>
    <n v="420"/>
    <n v="1260"/>
  </r>
  <r>
    <x v="10"/>
    <x v="1"/>
    <s v="Eletrônicos"/>
    <s v="Cliente B"/>
    <x v="1"/>
    <n v="7"/>
    <n v="584"/>
    <n v="40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0CAE2-70A8-442C-944A-DDF522C512BC}" name="Tabela dinâmica4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15" firstHeaderRow="1" firstDataRow="1" firstDataCol="1"/>
  <pivotFields count="9"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Faturamento" fld="7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2B060-764E-4257-9F62-97BA1D36EAED}" name="Tabela dinâmica5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9">
    <pivotField numFmtId="1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Faturamento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C945B-04E7-4C16-87F8-C0D0B4A258C6}" name="Tabela1" displayName="Tabela1" ref="A1:H12" totalsRowShown="0" headerRowDxfId="0">
  <autoFilter ref="A1:H12" xr:uid="{C84C945B-04E7-4C16-87F8-C0D0B4A258C6}"/>
  <tableColumns count="8">
    <tableColumn id="1" xr3:uid="{E348FB8C-939C-43E8-8527-BB97AE272CCB}" name="Data"/>
    <tableColumn id="2" xr3:uid="{61843D14-9CAC-4951-A852-96F23CBBCC97}" name="Produto"/>
    <tableColumn id="3" xr3:uid="{019C2B92-A596-460D-943B-8A0DABA98F21}" name="Categoria"/>
    <tableColumn id="4" xr3:uid="{54E3D3C2-015A-409A-88A8-78D88787F146}" name="Cliente"/>
    <tableColumn id="5" xr3:uid="{A5D68AAE-67C1-407D-AE0E-045CBAB11204}" name="Região"/>
    <tableColumn id="6" xr3:uid="{72CE3707-2082-4E22-9643-1BE86C2FBD28}" name="Quantidade"/>
    <tableColumn id="7" xr3:uid="{D00AB90D-CAC7-45C9-82CC-238E38649E08}" name="Preço Unitário"/>
    <tableColumn id="8" xr3:uid="{23BDC5E6-6870-4031-BD94-3F13D8CEFA80}" name="Faturamento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15CC-0062-4D27-A262-5280F8DBE818}">
  <dimension ref="F2:P3"/>
  <sheetViews>
    <sheetView showGridLines="0" tabSelected="1" workbookViewId="0">
      <selection activeCell="F3" sqref="F3"/>
    </sheetView>
  </sheetViews>
  <sheetFormatPr defaultRowHeight="15" x14ac:dyDescent="0.25"/>
  <cols>
    <col min="5" max="5" width="16.85546875" bestFit="1" customWidth="1"/>
    <col min="8" max="8" width="11.85546875" customWidth="1"/>
    <col min="9" max="9" width="12.28515625" customWidth="1"/>
  </cols>
  <sheetData>
    <row r="2" spans="6:16" ht="20.25" x14ac:dyDescent="0.3">
      <c r="F2" s="10" t="s">
        <v>37</v>
      </c>
      <c r="G2" s="10"/>
      <c r="H2" s="10"/>
      <c r="I2" s="10"/>
    </row>
    <row r="3" spans="6:16" ht="28.5" x14ac:dyDescent="0.45">
      <c r="F3" s="6"/>
      <c r="H3" s="9">
        <v>18716</v>
      </c>
      <c r="I3" s="7"/>
      <c r="P3" s="8"/>
    </row>
  </sheetData>
  <mergeCells count="1">
    <mergeCell ref="F2:I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04B7-F3A5-4B3F-9B0A-A78FFB633A43}">
  <dimension ref="A3:B15"/>
  <sheetViews>
    <sheetView workbookViewId="0">
      <selection activeCell="N12" sqref="N12"/>
    </sheetView>
  </sheetViews>
  <sheetFormatPr defaultRowHeight="15" x14ac:dyDescent="0.25"/>
  <cols>
    <col min="1" max="1" width="18" bestFit="1" customWidth="1"/>
    <col min="2" max="2" width="20.7109375" bestFit="1" customWidth="1"/>
    <col min="3" max="3" width="7.28515625" bestFit="1" customWidth="1"/>
    <col min="4" max="4" width="9.85546875" bestFit="1" customWidth="1"/>
    <col min="5" max="5" width="10.7109375" bestFit="1" customWidth="1"/>
  </cols>
  <sheetData>
    <row r="3" spans="1:2" x14ac:dyDescent="0.25">
      <c r="A3" s="2" t="s">
        <v>23</v>
      </c>
      <c r="B3" t="s">
        <v>25</v>
      </c>
    </row>
    <row r="4" spans="1:2" x14ac:dyDescent="0.25">
      <c r="A4" s="3" t="s">
        <v>26</v>
      </c>
      <c r="B4" s="4">
        <v>1000</v>
      </c>
    </row>
    <row r="5" spans="1:2" x14ac:dyDescent="0.25">
      <c r="A5" s="3" t="s">
        <v>27</v>
      </c>
      <c r="B5" s="4">
        <v>4500</v>
      </c>
    </row>
    <row r="6" spans="1:2" x14ac:dyDescent="0.25">
      <c r="A6" s="3" t="s">
        <v>28</v>
      </c>
      <c r="B6" s="4">
        <v>1000</v>
      </c>
    </row>
    <row r="7" spans="1:2" x14ac:dyDescent="0.25">
      <c r="A7" s="3" t="s">
        <v>29</v>
      </c>
      <c r="B7" s="4">
        <v>1200</v>
      </c>
    </row>
    <row r="8" spans="1:2" x14ac:dyDescent="0.25">
      <c r="A8" s="3" t="s">
        <v>30</v>
      </c>
      <c r="B8" s="4">
        <v>600</v>
      </c>
    </row>
    <row r="9" spans="1:2" x14ac:dyDescent="0.25">
      <c r="A9" s="3" t="s">
        <v>31</v>
      </c>
      <c r="B9" s="4">
        <v>800</v>
      </c>
    </row>
    <row r="10" spans="1:2" x14ac:dyDescent="0.25">
      <c r="A10" s="3" t="s">
        <v>32</v>
      </c>
      <c r="B10" s="4">
        <v>2000</v>
      </c>
    </row>
    <row r="11" spans="1:2" x14ac:dyDescent="0.25">
      <c r="A11" s="3" t="s">
        <v>33</v>
      </c>
      <c r="B11" s="4">
        <v>750</v>
      </c>
    </row>
    <row r="12" spans="1:2" x14ac:dyDescent="0.25">
      <c r="A12" s="3" t="s">
        <v>34</v>
      </c>
      <c r="B12" s="4">
        <v>1518</v>
      </c>
    </row>
    <row r="13" spans="1:2" x14ac:dyDescent="0.25">
      <c r="A13" s="3" t="s">
        <v>35</v>
      </c>
      <c r="B13" s="4">
        <v>1260</v>
      </c>
    </row>
    <row r="14" spans="1:2" x14ac:dyDescent="0.25">
      <c r="A14" s="3" t="s">
        <v>36</v>
      </c>
      <c r="B14" s="4">
        <v>4088</v>
      </c>
    </row>
    <row r="15" spans="1:2" x14ac:dyDescent="0.25">
      <c r="A15" s="3" t="s">
        <v>24</v>
      </c>
      <c r="B15" s="4">
        <v>18716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1E8E-72F5-4F34-9DB7-42F6435CA469}">
  <dimension ref="A3:B7"/>
  <sheetViews>
    <sheetView workbookViewId="0">
      <selection activeCell="B12" sqref="B12"/>
    </sheetView>
  </sheetViews>
  <sheetFormatPr defaultRowHeight="15" x14ac:dyDescent="0.25"/>
  <cols>
    <col min="1" max="1" width="18" bestFit="1" customWidth="1"/>
    <col min="2" max="2" width="20.7109375" bestFit="1" customWidth="1"/>
  </cols>
  <sheetData>
    <row r="3" spans="1:2" x14ac:dyDescent="0.25">
      <c r="A3" s="2" t="s">
        <v>23</v>
      </c>
      <c r="B3" t="s">
        <v>25</v>
      </c>
    </row>
    <row r="4" spans="1:2" x14ac:dyDescent="0.25">
      <c r="A4" s="3" t="s">
        <v>18</v>
      </c>
      <c r="B4" s="4">
        <v>3318</v>
      </c>
    </row>
    <row r="5" spans="1:2" x14ac:dyDescent="0.25">
      <c r="A5" s="3" t="s">
        <v>11</v>
      </c>
      <c r="B5" s="4">
        <v>5460</v>
      </c>
    </row>
    <row r="6" spans="1:2" x14ac:dyDescent="0.25">
      <c r="A6" s="3" t="s">
        <v>14</v>
      </c>
      <c r="B6" s="4">
        <v>9938</v>
      </c>
    </row>
    <row r="7" spans="1:2" x14ac:dyDescent="0.25">
      <c r="A7" s="3" t="s">
        <v>24</v>
      </c>
      <c r="B7" s="4">
        <v>18716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sqref="A1:H12"/>
    </sheetView>
  </sheetViews>
  <sheetFormatPr defaultRowHeight="15" x14ac:dyDescent="0.25"/>
  <cols>
    <col min="1" max="1" width="10.7109375" bestFit="1" customWidth="1"/>
    <col min="2" max="2" width="10.28515625" customWidth="1"/>
    <col min="3" max="3" width="11.5703125" customWidth="1"/>
    <col min="4" max="4" width="9.5703125" customWidth="1"/>
    <col min="6" max="6" width="13.5703125" customWidth="1"/>
    <col min="7" max="7" width="15.85546875" customWidth="1"/>
    <col min="8" max="8" width="14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>
        <v>46023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500</v>
      </c>
      <c r="H2">
        <f>F2*G2</f>
        <v>1000</v>
      </c>
    </row>
    <row r="3" spans="1:8" x14ac:dyDescent="0.25">
      <c r="A3" s="5">
        <v>46054</v>
      </c>
      <c r="B3" t="s">
        <v>12</v>
      </c>
      <c r="C3" t="s">
        <v>9</v>
      </c>
      <c r="D3" t="s">
        <v>13</v>
      </c>
      <c r="E3" t="s">
        <v>14</v>
      </c>
      <c r="F3">
        <v>3</v>
      </c>
      <c r="G3">
        <v>1500</v>
      </c>
      <c r="H3">
        <f>F3*G3</f>
        <v>4500</v>
      </c>
    </row>
    <row r="4" spans="1:8" x14ac:dyDescent="0.25">
      <c r="A4" s="5">
        <v>46082</v>
      </c>
      <c r="B4" t="s">
        <v>15</v>
      </c>
      <c r="C4" t="s">
        <v>16</v>
      </c>
      <c r="D4" t="s">
        <v>17</v>
      </c>
      <c r="E4" t="s">
        <v>18</v>
      </c>
      <c r="F4">
        <v>5</v>
      </c>
      <c r="G4">
        <v>200</v>
      </c>
      <c r="H4">
        <f>F4*G4</f>
        <v>1000</v>
      </c>
    </row>
    <row r="5" spans="1:8" x14ac:dyDescent="0.25">
      <c r="A5" s="5">
        <v>46113</v>
      </c>
      <c r="B5" t="s">
        <v>8</v>
      </c>
      <c r="C5" t="s">
        <v>9</v>
      </c>
      <c r="D5" t="s">
        <v>10</v>
      </c>
      <c r="E5" t="s">
        <v>11</v>
      </c>
      <c r="F5">
        <v>4</v>
      </c>
      <c r="G5">
        <v>300</v>
      </c>
      <c r="H5">
        <f t="shared" ref="H5:H6" si="0">F5*G5</f>
        <v>1200</v>
      </c>
    </row>
    <row r="6" spans="1:8" x14ac:dyDescent="0.25">
      <c r="A6" s="5">
        <v>46143</v>
      </c>
      <c r="B6" t="s">
        <v>12</v>
      </c>
      <c r="C6" t="s">
        <v>9</v>
      </c>
      <c r="D6" t="s">
        <v>13</v>
      </c>
      <c r="E6" t="s">
        <v>14</v>
      </c>
      <c r="F6">
        <v>3</v>
      </c>
      <c r="G6">
        <v>200</v>
      </c>
      <c r="H6">
        <f t="shared" si="0"/>
        <v>600</v>
      </c>
    </row>
    <row r="7" spans="1:8" x14ac:dyDescent="0.25">
      <c r="A7" s="5">
        <v>46174</v>
      </c>
      <c r="B7" t="s">
        <v>15</v>
      </c>
      <c r="C7" t="s">
        <v>16</v>
      </c>
      <c r="D7" t="s">
        <v>17</v>
      </c>
      <c r="E7" t="s">
        <v>18</v>
      </c>
      <c r="F7">
        <v>8</v>
      </c>
      <c r="G7">
        <v>100</v>
      </c>
      <c r="H7">
        <f t="shared" ref="H7:H12" si="1">F7*G7</f>
        <v>800</v>
      </c>
    </row>
    <row r="8" spans="1:8" x14ac:dyDescent="0.25">
      <c r="A8" s="5">
        <v>46204</v>
      </c>
      <c r="B8" t="s">
        <v>8</v>
      </c>
      <c r="C8" t="s">
        <v>9</v>
      </c>
      <c r="D8" t="s">
        <v>10</v>
      </c>
      <c r="E8" t="s">
        <v>11</v>
      </c>
      <c r="F8">
        <v>2</v>
      </c>
      <c r="G8">
        <v>1000</v>
      </c>
      <c r="H8">
        <f t="shared" si="1"/>
        <v>2000</v>
      </c>
    </row>
    <row r="9" spans="1:8" x14ac:dyDescent="0.25">
      <c r="A9" s="5">
        <v>46235</v>
      </c>
      <c r="B9" t="s">
        <v>12</v>
      </c>
      <c r="C9" t="s">
        <v>9</v>
      </c>
      <c r="D9" t="s">
        <v>13</v>
      </c>
      <c r="E9" t="s">
        <v>14</v>
      </c>
      <c r="F9">
        <v>5</v>
      </c>
      <c r="G9">
        <v>150</v>
      </c>
      <c r="H9">
        <f t="shared" si="1"/>
        <v>750</v>
      </c>
    </row>
    <row r="10" spans="1:8" x14ac:dyDescent="0.25">
      <c r="A10" s="5">
        <v>46266</v>
      </c>
      <c r="B10" t="s">
        <v>15</v>
      </c>
      <c r="C10" t="s">
        <v>16</v>
      </c>
      <c r="D10" t="s">
        <v>17</v>
      </c>
      <c r="E10" t="s">
        <v>18</v>
      </c>
      <c r="F10">
        <v>6</v>
      </c>
      <c r="G10">
        <v>253</v>
      </c>
      <c r="H10">
        <f t="shared" si="1"/>
        <v>1518</v>
      </c>
    </row>
    <row r="11" spans="1:8" x14ac:dyDescent="0.25">
      <c r="A11" s="5">
        <v>46296</v>
      </c>
      <c r="B11" t="s">
        <v>8</v>
      </c>
      <c r="C11" t="s">
        <v>9</v>
      </c>
      <c r="D11" t="s">
        <v>10</v>
      </c>
      <c r="E11" t="s">
        <v>11</v>
      </c>
      <c r="F11">
        <v>3</v>
      </c>
      <c r="G11">
        <v>420</v>
      </c>
      <c r="H11">
        <f t="shared" si="1"/>
        <v>1260</v>
      </c>
    </row>
    <row r="12" spans="1:8" x14ac:dyDescent="0.25">
      <c r="A12" s="5">
        <v>46327</v>
      </c>
      <c r="B12" t="s">
        <v>12</v>
      </c>
      <c r="C12" t="s">
        <v>9</v>
      </c>
      <c r="D12" t="s">
        <v>13</v>
      </c>
      <c r="E12" t="s">
        <v>14</v>
      </c>
      <c r="F12">
        <v>7</v>
      </c>
      <c r="G12">
        <v>584</v>
      </c>
      <c r="H12">
        <f t="shared" si="1"/>
        <v>4088</v>
      </c>
    </row>
  </sheetData>
  <phoneticPr fontId="3" type="noConversion"/>
  <dataValidations count="1">
    <dataValidation type="list" allowBlank="1" sqref="E2:E57" xr:uid="{00000000-0002-0000-0000-000000000000}">
      <formula1>"Sudeste,Sul,Nordeste,Centro-Oeste,Norte"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F14" sqref="F14"/>
    </sheetView>
  </sheetViews>
  <sheetFormatPr defaultRowHeight="15" x14ac:dyDescent="0.25"/>
  <cols>
    <col min="1" max="1" width="18.140625" bestFit="1" customWidth="1"/>
  </cols>
  <sheetData>
    <row r="1" spans="1:2" x14ac:dyDescent="0.25">
      <c r="A1" s="1" t="s">
        <v>19</v>
      </c>
    </row>
    <row r="3" spans="1:2" x14ac:dyDescent="0.25">
      <c r="A3" s="1" t="s">
        <v>20</v>
      </c>
      <c r="B3">
        <f>SUM(Base_Dados!H:H)</f>
        <v>18716</v>
      </c>
    </row>
    <row r="4" spans="1:2" x14ac:dyDescent="0.25">
      <c r="A4" s="1" t="s">
        <v>21</v>
      </c>
      <c r="B4">
        <f>SUM(Base_Dados!F:F)</f>
        <v>48</v>
      </c>
    </row>
    <row r="5" spans="1:2" x14ac:dyDescent="0.25">
      <c r="A5" s="1" t="s">
        <v>22</v>
      </c>
      <c r="B5">
        <f>IF(B4=0,0,B3/B4)</f>
        <v>389.91666666666669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Gráfico 1</vt:lpstr>
      <vt:lpstr>Gráfico 2</vt:lpstr>
      <vt:lpstr>Base_Dados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 R.P</cp:lastModifiedBy>
  <dcterms:created xsi:type="dcterms:W3CDTF">2026-04-29T04:49:35Z</dcterms:created>
  <dcterms:modified xsi:type="dcterms:W3CDTF">2026-04-29T19:55:31Z</dcterms:modified>
</cp:coreProperties>
</file>